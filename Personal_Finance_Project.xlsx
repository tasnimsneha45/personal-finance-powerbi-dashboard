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00" windowHeight="6880" firstSheet="2" activeTab="3"/>
  </bookViews>
  <sheets>
    <sheet name="Transactions" sheetId="1" r:id="rId1"/>
    <sheet name="Categories" sheetId="2" r:id="rId2"/>
    <sheet name="Summary" sheetId="3" r:id="rId3"/>
    <sheet name="Pivot tabl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<sst xmlns="http://schemas.openxmlformats.org/spreadsheetml/2006/main" count="245" uniqueCount="52">
  <si>
    <t>Date</t>
  </si>
  <si>
    <t>Category</t>
  </si>
  <si>
    <t>Subcategory</t>
  </si>
  <si>
    <t>Type</t>
  </si>
  <si>
    <t>Amount</t>
  </si>
  <si>
    <t>Payment Method</t>
  </si>
  <si>
    <t>Notes</t>
  </si>
  <si>
    <t>2026-01-01</t>
  </si>
  <si>
    <t>Salary</t>
  </si>
  <si>
    <t>Income</t>
  </si>
  <si>
    <t>Bank Transfer</t>
  </si>
  <si>
    <t/>
  </si>
  <si>
    <t>2026-01-03</t>
  </si>
  <si>
    <t>Groceries</t>
  </si>
  <si>
    <t>Expense</t>
  </si>
  <si>
    <t>Card</t>
  </si>
  <si>
    <t>2026-01-05</t>
  </si>
  <si>
    <t>Bus</t>
  </si>
  <si>
    <t>Cash</t>
  </si>
  <si>
    <t>2026-01-07</t>
  </si>
  <si>
    <t>Movies</t>
  </si>
  <si>
    <t>2026-01-10</t>
  </si>
  <si>
    <t>Restaurant</t>
  </si>
  <si>
    <t>2026-01-12</t>
  </si>
  <si>
    <t>Freelance</t>
  </si>
  <si>
    <t>Metro</t>
  </si>
  <si>
    <t>Streaming</t>
  </si>
  <si>
    <t>Netflix</t>
  </si>
  <si>
    <t>Electricity</t>
  </si>
  <si>
    <t>Uber</t>
  </si>
  <si>
    <t>Gaming</t>
  </si>
  <si>
    <t>Pharmacy</t>
  </si>
  <si>
    <t>Internet</t>
  </si>
  <si>
    <t>Gym</t>
  </si>
  <si>
    <t>Water</t>
  </si>
  <si>
    <t>Concert</t>
  </si>
  <si>
    <t>Clothes</t>
  </si>
  <si>
    <t>Valentine's</t>
  </si>
  <si>
    <t>Doctor</t>
  </si>
  <si>
    <t>Electronics</t>
  </si>
  <si>
    <t>Accessories</t>
  </si>
  <si>
    <t>Food</t>
  </si>
  <si>
    <t>Entertainment</t>
  </si>
  <si>
    <t>Transport</t>
  </si>
  <si>
    <t>Utilities</t>
  </si>
  <si>
    <t>Health</t>
  </si>
  <si>
    <t>Shopping</t>
  </si>
  <si>
    <t>Total Income</t>
  </si>
  <si>
    <t>Total Expenses</t>
  </si>
  <si>
    <t>Net Savings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</si>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</sst>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0" formatCode="General"/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[Personal_Finance_Project.xlsx]Pivot table!PivotTable1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Monthly Spending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table'!$A$4:$A$10</c:f>
              <c:strCache>
                <c:ptCount val="6"/>
                <c:pt idx="0">
                  <c:v>Entertainment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Health</c:v>
                </c:pt>
                <c:pt idx="5">
                  <c:v>Shopping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236</c:v>
                </c:pt>
                <c:pt idx="1">
                  <c:v>720</c:v>
                </c:pt>
                <c:pt idx="2">
                  <c:v>152</c:v>
                </c:pt>
                <c:pt idx="3">
                  <c:v>265</c:v>
                </c:pt>
                <c:pt idx="4">
                  <c:v>172</c:v>
                </c:pt>
                <c:pt idx="5">
                  <c:v>445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603250</xdr:colOff>
      <xdr:row>0</xdr:row>
      <xdr:rowOff>6350</xdr:rowOff>
    </xdr:from>
    <xdr:to>
      <xdr:col>11</xdr:col>
      <xdr:colOff>12065</xdr:colOff>
      <xdr:row>17</xdr:row>
      <xdr:rowOff>139065</xdr:rowOff>
    </xdr:to>
    <xdr:graphicFrame>
      <xdr:nvGraphicFramePr>
        <xdr:cNvPr id="2" name="Chart 1" descr="7b0a202020202263686172745265734964223a20223230343735393537220a7d0a"/>
        <xdr:cNvGraphicFramePr/>
      </xdr:nvGraphicFramePr>
      <xdr:xfrm>
        <a:off x="2647950" y="6350"/>
        <a:ext cx="4895215" cy="3263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9.6434606481" refreshedBy="Tasnim" recordCount="56">
  <cacheSource type="worksheet">
    <worksheetSource ref="A1:G57" sheet="Transactions"/>
  </cacheSource>
  <cacheFields count="7">
    <cacheField name="Date" numFmtId="0">
      <sharedItems containsDate="1" containsMixedTypes="1" count="56">
        <s v="2026-01-01"/>
        <s v="2026-01-03"/>
        <s v="2026-01-05"/>
        <s v="2026-01-07"/>
        <s v="2026-01-10"/>
        <s v="2026-01-12"/>
        <d v="2026-01-15T00:00:00"/>
        <d v="2026-01-16T00:00:00"/>
        <d v="2026-01-17T00:00:00"/>
        <d v="2026-01-18T00:00:00"/>
        <d v="2026-01-20T00:00:00"/>
        <d v="2026-01-21T00:00:00"/>
        <d v="2026-01-22T00:00:00"/>
        <d v="2026-01-23T00:00:00"/>
        <d v="2026-01-24T00:00:00"/>
        <d v="2026-01-25T00:00:00"/>
        <d v="2026-01-27T00:00:00"/>
        <d v="2026-01-28T00:00:00"/>
        <d v="2026-01-30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</sharedItems>
    </cacheField>
    <cacheField name="Category" numFmtId="0">
      <sharedItems count="7">
        <s v="Income"/>
        <s v="Food"/>
        <s v="Transport"/>
        <s v="Entertainment"/>
        <s v="Utilities"/>
        <s v="Health"/>
        <s v="Shopping"/>
      </sharedItems>
    </cacheField>
    <cacheField name="Subcategory" numFmtId="0">
      <sharedItems count="20">
        <s v="Salary"/>
        <s v="Groceries"/>
        <s v="Bus"/>
        <s v="Movies"/>
        <s v="Restaurant"/>
        <s v="Freelance"/>
        <s v="Metro"/>
        <s v="Streaming"/>
        <s v="Electricity"/>
        <s v="Uber"/>
        <s v="Gaming"/>
        <s v="Pharmacy"/>
        <s v="Internet"/>
        <s v="Gym"/>
        <s v="Water"/>
        <s v="Concert"/>
        <s v="Clothes"/>
        <s v="Doctor"/>
        <s v="Electronics"/>
        <s v="Accessories"/>
      </sharedItems>
    </cacheField>
    <cacheField name="Type" numFmtId="0">
      <sharedItems count="2">
        <s v="Income"/>
        <s v="Expense"/>
      </sharedItems>
    </cacheField>
    <cacheField name="Amount" numFmtId="0">
      <sharedItems containsSemiMixedTypes="0" containsString="0" containsNumber="1" containsInteger="1" minValue="10" maxValue="1200" count="36">
        <n v="1200"/>
        <n v="45"/>
        <n v="15"/>
        <n v="20"/>
        <n v="30"/>
        <n v="300"/>
        <n v="52"/>
        <n v="18"/>
        <n v="27"/>
        <n v="12"/>
        <n v="250"/>
        <n v="60"/>
        <n v="48"/>
        <n v="22"/>
        <n v="35"/>
        <n v="33"/>
        <n v="40"/>
        <n v="55"/>
        <n v="10"/>
        <n v="25"/>
        <n v="38"/>
        <n v="19"/>
        <n v="62"/>
        <n v="80"/>
        <n v="120"/>
        <n v="70"/>
        <n v="50"/>
        <n v="49"/>
        <n v="200"/>
        <n v="36"/>
        <n v="42"/>
        <n v="58"/>
        <n v="280"/>
        <n v="28"/>
        <n v="17"/>
        <n v="90"/>
      </sharedItems>
    </cacheField>
    <cacheField name="Payment Method" numFmtId="0">
      <sharedItems count="3">
        <s v="Bank Transfer"/>
        <s v="Card"/>
        <s v="Cash"/>
      </sharedItems>
    </cacheField>
    <cacheField name="Notes" numFmtId="0">
      <sharedItems containsBlank="1" count="4">
        <s v=""/>
        <m/>
        <s v="Netflix"/>
        <s v="Valentine'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x v="0"/>
    <x v="0"/>
    <x v="0"/>
    <x v="0"/>
    <x v="0"/>
    <x v="0"/>
  </r>
  <r>
    <x v="1"/>
    <x v="1"/>
    <x v="1"/>
    <x v="1"/>
    <x v="1"/>
    <x v="1"/>
    <x v="0"/>
  </r>
  <r>
    <x v="2"/>
    <x v="2"/>
    <x v="2"/>
    <x v="1"/>
    <x v="2"/>
    <x v="2"/>
    <x v="0"/>
  </r>
  <r>
    <x v="3"/>
    <x v="3"/>
    <x v="3"/>
    <x v="1"/>
    <x v="3"/>
    <x v="1"/>
    <x v="0"/>
  </r>
  <r>
    <x v="4"/>
    <x v="1"/>
    <x v="4"/>
    <x v="1"/>
    <x v="4"/>
    <x v="1"/>
    <x v="0"/>
  </r>
  <r>
    <x v="5"/>
    <x v="0"/>
    <x v="5"/>
    <x v="0"/>
    <x v="5"/>
    <x v="0"/>
    <x v="0"/>
  </r>
  <r>
    <x v="6"/>
    <x v="1"/>
    <x v="1"/>
    <x v="1"/>
    <x v="6"/>
    <x v="1"/>
    <x v="1"/>
  </r>
  <r>
    <x v="7"/>
    <x v="2"/>
    <x v="6"/>
    <x v="1"/>
    <x v="7"/>
    <x v="1"/>
    <x v="1"/>
  </r>
  <r>
    <x v="8"/>
    <x v="1"/>
    <x v="4"/>
    <x v="1"/>
    <x v="8"/>
    <x v="1"/>
    <x v="1"/>
  </r>
  <r>
    <x v="9"/>
    <x v="3"/>
    <x v="7"/>
    <x v="1"/>
    <x v="9"/>
    <x v="1"/>
    <x v="2"/>
  </r>
  <r>
    <x v="10"/>
    <x v="0"/>
    <x v="5"/>
    <x v="0"/>
    <x v="10"/>
    <x v="0"/>
    <x v="1"/>
  </r>
  <r>
    <x v="11"/>
    <x v="4"/>
    <x v="8"/>
    <x v="1"/>
    <x v="11"/>
    <x v="0"/>
    <x v="1"/>
  </r>
  <r>
    <x v="12"/>
    <x v="1"/>
    <x v="1"/>
    <x v="1"/>
    <x v="12"/>
    <x v="2"/>
    <x v="1"/>
  </r>
  <r>
    <x v="13"/>
    <x v="2"/>
    <x v="9"/>
    <x v="1"/>
    <x v="13"/>
    <x v="1"/>
    <x v="1"/>
  </r>
  <r>
    <x v="14"/>
    <x v="3"/>
    <x v="10"/>
    <x v="1"/>
    <x v="14"/>
    <x v="1"/>
    <x v="1"/>
  </r>
  <r>
    <x v="15"/>
    <x v="5"/>
    <x v="11"/>
    <x v="1"/>
    <x v="2"/>
    <x v="2"/>
    <x v="1"/>
  </r>
  <r>
    <x v="16"/>
    <x v="1"/>
    <x v="4"/>
    <x v="1"/>
    <x v="15"/>
    <x v="1"/>
    <x v="1"/>
  </r>
  <r>
    <x v="17"/>
    <x v="4"/>
    <x v="12"/>
    <x v="1"/>
    <x v="16"/>
    <x v="0"/>
    <x v="1"/>
  </r>
  <r>
    <x v="18"/>
    <x v="0"/>
    <x v="0"/>
    <x v="0"/>
    <x v="0"/>
    <x v="0"/>
    <x v="1"/>
  </r>
  <r>
    <x v="19"/>
    <x v="1"/>
    <x v="1"/>
    <x v="1"/>
    <x v="17"/>
    <x v="1"/>
    <x v="1"/>
  </r>
  <r>
    <x v="20"/>
    <x v="2"/>
    <x v="2"/>
    <x v="1"/>
    <x v="18"/>
    <x v="2"/>
    <x v="1"/>
  </r>
  <r>
    <x v="21"/>
    <x v="3"/>
    <x v="3"/>
    <x v="1"/>
    <x v="19"/>
    <x v="1"/>
    <x v="1"/>
  </r>
  <r>
    <x v="22"/>
    <x v="5"/>
    <x v="13"/>
    <x v="1"/>
    <x v="1"/>
    <x v="0"/>
    <x v="1"/>
  </r>
  <r>
    <x v="23"/>
    <x v="1"/>
    <x v="4"/>
    <x v="1"/>
    <x v="20"/>
    <x v="1"/>
    <x v="1"/>
  </r>
  <r>
    <x v="24"/>
    <x v="4"/>
    <x v="14"/>
    <x v="1"/>
    <x v="19"/>
    <x v="0"/>
    <x v="1"/>
  </r>
  <r>
    <x v="25"/>
    <x v="2"/>
    <x v="9"/>
    <x v="1"/>
    <x v="21"/>
    <x v="1"/>
    <x v="1"/>
  </r>
  <r>
    <x v="26"/>
    <x v="0"/>
    <x v="5"/>
    <x v="0"/>
    <x v="5"/>
    <x v="0"/>
    <x v="1"/>
  </r>
  <r>
    <x v="27"/>
    <x v="1"/>
    <x v="1"/>
    <x v="1"/>
    <x v="22"/>
    <x v="1"/>
    <x v="1"/>
  </r>
  <r>
    <x v="28"/>
    <x v="3"/>
    <x v="15"/>
    <x v="1"/>
    <x v="23"/>
    <x v="1"/>
    <x v="1"/>
  </r>
  <r>
    <x v="29"/>
    <x v="6"/>
    <x v="16"/>
    <x v="1"/>
    <x v="24"/>
    <x v="1"/>
    <x v="1"/>
  </r>
  <r>
    <x v="30"/>
    <x v="1"/>
    <x v="4"/>
    <x v="1"/>
    <x v="1"/>
    <x v="1"/>
    <x v="3"/>
  </r>
  <r>
    <x v="31"/>
    <x v="2"/>
    <x v="6"/>
    <x v="1"/>
    <x v="7"/>
    <x v="1"/>
    <x v="1"/>
  </r>
  <r>
    <x v="32"/>
    <x v="4"/>
    <x v="8"/>
    <x v="1"/>
    <x v="25"/>
    <x v="0"/>
    <x v="1"/>
  </r>
  <r>
    <x v="33"/>
    <x v="5"/>
    <x v="17"/>
    <x v="1"/>
    <x v="26"/>
    <x v="2"/>
    <x v="1"/>
  </r>
  <r>
    <x v="34"/>
    <x v="1"/>
    <x v="1"/>
    <x v="1"/>
    <x v="27"/>
    <x v="1"/>
    <x v="1"/>
  </r>
  <r>
    <x v="35"/>
    <x v="3"/>
    <x v="10"/>
    <x v="1"/>
    <x v="4"/>
    <x v="1"/>
    <x v="1"/>
  </r>
  <r>
    <x v="36"/>
    <x v="2"/>
    <x v="2"/>
    <x v="1"/>
    <x v="9"/>
    <x v="2"/>
    <x v="1"/>
  </r>
  <r>
    <x v="37"/>
    <x v="0"/>
    <x v="0"/>
    <x v="0"/>
    <x v="0"/>
    <x v="0"/>
    <x v="1"/>
  </r>
  <r>
    <x v="38"/>
    <x v="6"/>
    <x v="18"/>
    <x v="1"/>
    <x v="28"/>
    <x v="1"/>
    <x v="1"/>
  </r>
  <r>
    <x v="39"/>
    <x v="1"/>
    <x v="4"/>
    <x v="1"/>
    <x v="29"/>
    <x v="1"/>
    <x v="1"/>
  </r>
  <r>
    <x v="40"/>
    <x v="4"/>
    <x v="12"/>
    <x v="1"/>
    <x v="30"/>
    <x v="0"/>
    <x v="1"/>
  </r>
  <r>
    <x v="41"/>
    <x v="5"/>
    <x v="13"/>
    <x v="1"/>
    <x v="1"/>
    <x v="0"/>
    <x v="1"/>
  </r>
  <r>
    <x v="42"/>
    <x v="1"/>
    <x v="1"/>
    <x v="1"/>
    <x v="31"/>
    <x v="1"/>
    <x v="1"/>
  </r>
  <r>
    <x v="43"/>
    <x v="2"/>
    <x v="9"/>
    <x v="1"/>
    <x v="3"/>
    <x v="1"/>
    <x v="1"/>
  </r>
  <r>
    <x v="44"/>
    <x v="3"/>
    <x v="3"/>
    <x v="1"/>
    <x v="13"/>
    <x v="1"/>
    <x v="1"/>
  </r>
  <r>
    <x v="45"/>
    <x v="6"/>
    <x v="19"/>
    <x v="1"/>
    <x v="14"/>
    <x v="1"/>
    <x v="1"/>
  </r>
  <r>
    <x v="46"/>
    <x v="0"/>
    <x v="5"/>
    <x v="0"/>
    <x v="32"/>
    <x v="0"/>
    <x v="1"/>
  </r>
  <r>
    <x v="47"/>
    <x v="1"/>
    <x v="4"/>
    <x v="1"/>
    <x v="16"/>
    <x v="1"/>
    <x v="1"/>
  </r>
  <r>
    <x v="48"/>
    <x v="4"/>
    <x v="14"/>
    <x v="1"/>
    <x v="33"/>
    <x v="0"/>
    <x v="1"/>
  </r>
  <r>
    <x v="49"/>
    <x v="2"/>
    <x v="6"/>
    <x v="1"/>
    <x v="7"/>
    <x v="1"/>
    <x v="1"/>
  </r>
  <r>
    <x v="50"/>
    <x v="5"/>
    <x v="11"/>
    <x v="1"/>
    <x v="34"/>
    <x v="2"/>
    <x v="1"/>
  </r>
  <r>
    <x v="51"/>
    <x v="1"/>
    <x v="1"/>
    <x v="1"/>
    <x v="11"/>
    <x v="1"/>
    <x v="1"/>
  </r>
  <r>
    <x v="52"/>
    <x v="3"/>
    <x v="7"/>
    <x v="1"/>
    <x v="9"/>
    <x v="1"/>
    <x v="1"/>
  </r>
  <r>
    <x v="53"/>
    <x v="6"/>
    <x v="16"/>
    <x v="1"/>
    <x v="35"/>
    <x v="1"/>
    <x v="1"/>
  </r>
  <r>
    <x v="54"/>
    <x v="0"/>
    <x v="0"/>
    <x v="0"/>
    <x v="0"/>
    <x v="0"/>
    <x v="1"/>
  </r>
  <r>
    <x v="55"/>
    <x v="1"/>
    <x v="4"/>
    <x v="1"/>
    <x v="3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 rowPageCount="1" colPageCount="1"/>
  <pivotFields count="7">
    <pivotField compact="0" showAll="0"/>
    <pivotField axis="axisRow" compact="0" showAll="0">
      <items count="8">
        <item x="3"/>
        <item x="1"/>
        <item x="0"/>
        <item x="2"/>
        <item x="4"/>
        <item x="5"/>
        <item x="6"/>
        <item t="default"/>
      </items>
    </pivotField>
    <pivotField compact="0" showAll="0"/>
    <pivotField axis="axisPage" compact="0" multipleItemSelectionAllowed="1" showAll="0">
      <items count="3">
        <item x="1"/>
        <item h="1" x="0"/>
        <item t="default"/>
      </items>
    </pivotField>
    <pivotField dataField="1"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/>
  </pageFields>
  <dataFields count="1">
    <dataField name="Sum of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57" totalsRowShown="0">
  <autoFilter xmlns:etc="http://www.wps.cn/officeDocument/2017/etCustomData" ref="A1:G57" etc:filterBottomFollowUsedRange="0"/>
  <tableColumns count="7">
    <tableColumn id="1" name="Date"/>
    <tableColumn id="2" name="Category" dataDxfId="0">
      <calculatedColumnFormula>_xlfn.XLOOKUP(C2,Categories!A:A,Categories!B:B)</calculatedColumnFormula>
    </tableColumn>
    <tableColumn id="3" name="Subcategory"/>
    <tableColumn id="4" name="Type"/>
    <tableColumn id="5" name="Amount"/>
    <tableColumn id="6" name="Payment Method"/>
    <tableColumn id="7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D14" sqref="D14"/>
    </sheetView>
  </sheetViews>
  <sheetFormatPr defaultColWidth="9" defaultRowHeight="14.5" outlineLevelCol="6"/>
  <cols>
    <col min="1" max="1" width="11" customWidth="1"/>
    <col min="2" max="2" width="14" customWidth="1"/>
    <col min="3" max="3" width="12.0909090909091" customWidth="1"/>
    <col min="4" max="4" width="8.45454545454546" customWidth="1"/>
    <col min="5" max="5" width="8.54545454545454" customWidth="1"/>
    <col min="6" max="6" width="17" customWidth="1"/>
    <col min="7" max="7" width="10.7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tr">
        <f>_xlfn.XLOOKUP(C2,Categories!A:A,Categories!B:B)</f>
        <v>Income</v>
      </c>
      <c r="C2" t="s">
        <v>8</v>
      </c>
      <c r="D2" t="s">
        <v>9</v>
      </c>
      <c r="E2">
        <v>1200</v>
      </c>
      <c r="F2" t="s">
        <v>10</v>
      </c>
      <c r="G2" t="s">
        <v>11</v>
      </c>
    </row>
    <row r="3" spans="1:7">
      <c r="A3" t="s">
        <v>12</v>
      </c>
      <c r="B3" s="2" t="str">
        <f>_xlfn.XLOOKUP(C3,Categories!A:A,Categories!B:B)</f>
        <v>Food</v>
      </c>
      <c r="C3" t="s">
        <v>13</v>
      </c>
      <c r="D3" t="s">
        <v>14</v>
      </c>
      <c r="E3">
        <v>45</v>
      </c>
      <c r="F3" t="s">
        <v>15</v>
      </c>
      <c r="G3" t="s">
        <v>11</v>
      </c>
    </row>
    <row r="4" spans="1:7">
      <c r="A4" t="s">
        <v>16</v>
      </c>
      <c r="B4" s="2" t="str">
        <f>_xlfn.XLOOKUP(C4,Categories!A:A,Categories!B:B)</f>
        <v>Transport</v>
      </c>
      <c r="C4" t="s">
        <v>17</v>
      </c>
      <c r="D4" t="s">
        <v>14</v>
      </c>
      <c r="E4">
        <v>15</v>
      </c>
      <c r="F4" t="s">
        <v>18</v>
      </c>
      <c r="G4" t="s">
        <v>11</v>
      </c>
    </row>
    <row r="5" spans="1:7">
      <c r="A5" t="s">
        <v>19</v>
      </c>
      <c r="B5" s="2" t="str">
        <f>_xlfn.XLOOKUP(C5,Categories!A:A,Categories!B:B)</f>
        <v>Entertainment</v>
      </c>
      <c r="C5" t="s">
        <v>20</v>
      </c>
      <c r="D5" t="s">
        <v>14</v>
      </c>
      <c r="E5">
        <v>20</v>
      </c>
      <c r="F5" t="s">
        <v>15</v>
      </c>
      <c r="G5" t="s">
        <v>11</v>
      </c>
    </row>
    <row r="6" spans="1:7">
      <c r="A6" t="s">
        <v>21</v>
      </c>
      <c r="B6" s="2" t="str">
        <f>_xlfn.XLOOKUP(C6,Categories!A:A,Categories!B:B)</f>
        <v>Food</v>
      </c>
      <c r="C6" t="s">
        <v>22</v>
      </c>
      <c r="D6" t="s">
        <v>14</v>
      </c>
      <c r="E6">
        <v>30</v>
      </c>
      <c r="F6" t="s">
        <v>15</v>
      </c>
      <c r="G6" t="s">
        <v>11</v>
      </c>
    </row>
    <row r="7" spans="1:7">
      <c r="A7" t="s">
        <v>23</v>
      </c>
      <c r="B7" s="2" t="str">
        <f>_xlfn.XLOOKUP(C7,Categories!A:A,Categories!B:B)</f>
        <v>Income</v>
      </c>
      <c r="C7" t="s">
        <v>24</v>
      </c>
      <c r="D7" t="s">
        <v>9</v>
      </c>
      <c r="E7">
        <v>300</v>
      </c>
      <c r="F7" t="s">
        <v>10</v>
      </c>
      <c r="G7" t="s">
        <v>11</v>
      </c>
    </row>
    <row r="8" spans="1:7">
      <c r="A8" s="3">
        <v>46037</v>
      </c>
      <c r="B8" s="2" t="str">
        <f>_xlfn.XLOOKUP(C8,Categories!A:A,Categories!B:B)</f>
        <v>Food</v>
      </c>
      <c r="C8" t="s">
        <v>13</v>
      </c>
      <c r="D8" t="s">
        <v>14</v>
      </c>
      <c r="E8">
        <v>52</v>
      </c>
      <c r="F8" t="s">
        <v>15</v>
      </c>
    </row>
    <row r="9" spans="1:7">
      <c r="A9" s="3">
        <v>46038</v>
      </c>
      <c r="B9" s="2" t="str">
        <f>_xlfn.XLOOKUP(C9,Categories!A:A,Categories!B:B)</f>
        <v>Transport</v>
      </c>
      <c r="C9" t="s">
        <v>25</v>
      </c>
      <c r="D9" t="s">
        <v>14</v>
      </c>
      <c r="E9">
        <v>18</v>
      </c>
      <c r="F9" t="s">
        <v>15</v>
      </c>
    </row>
    <row r="10" spans="1:7">
      <c r="A10" s="3">
        <v>46039</v>
      </c>
      <c r="B10" s="2" t="str">
        <f>_xlfn.XLOOKUP(C10,Categories!A:A,Categories!B:B)</f>
        <v>Food</v>
      </c>
      <c r="C10" t="s">
        <v>22</v>
      </c>
      <c r="D10" t="s">
        <v>14</v>
      </c>
      <c r="E10">
        <v>27</v>
      </c>
      <c r="F10" t="s">
        <v>15</v>
      </c>
    </row>
    <row r="11" spans="1:7">
      <c r="A11" s="3">
        <v>46040</v>
      </c>
      <c r="B11" s="2" t="str">
        <f>_xlfn.XLOOKUP(C11,Categories!A:A,Categories!B:B)</f>
        <v>Entertainment</v>
      </c>
      <c r="C11" t="s">
        <v>26</v>
      </c>
      <c r="D11" t="s">
        <v>14</v>
      </c>
      <c r="E11">
        <v>12</v>
      </c>
      <c r="F11" t="s">
        <v>15</v>
      </c>
      <c r="G11" t="s">
        <v>27</v>
      </c>
    </row>
    <row r="12" spans="1:7">
      <c r="A12" s="3">
        <v>46042</v>
      </c>
      <c r="B12" s="2" t="str">
        <f>_xlfn.XLOOKUP(C12,Categories!A:A,Categories!B:B)</f>
        <v>Income</v>
      </c>
      <c r="C12" t="s">
        <v>24</v>
      </c>
      <c r="D12" t="s">
        <v>9</v>
      </c>
      <c r="E12">
        <v>250</v>
      </c>
      <c r="F12" t="s">
        <v>10</v>
      </c>
    </row>
    <row r="13" spans="1:7">
      <c r="A13" s="3">
        <v>46043</v>
      </c>
      <c r="B13" s="2" t="str">
        <f>_xlfn.XLOOKUP(C13,Categories!A:A,Categories!B:B)</f>
        <v>Utilities</v>
      </c>
      <c r="C13" t="s">
        <v>28</v>
      </c>
      <c r="D13" t="s">
        <v>14</v>
      </c>
      <c r="E13">
        <v>60</v>
      </c>
      <c r="F13" t="s">
        <v>10</v>
      </c>
    </row>
    <row r="14" spans="1:7">
      <c r="A14" s="3">
        <v>46044</v>
      </c>
      <c r="B14" s="2" t="str">
        <f>_xlfn.XLOOKUP(C14,Categories!A:A,Categories!B:B)</f>
        <v>Food</v>
      </c>
      <c r="C14" t="s">
        <v>13</v>
      </c>
      <c r="D14" t="s">
        <v>14</v>
      </c>
      <c r="E14">
        <v>48</v>
      </c>
      <c r="F14" t="s">
        <v>18</v>
      </c>
    </row>
    <row r="15" spans="1:7">
      <c r="A15" s="3">
        <v>46045</v>
      </c>
      <c r="B15" s="2" t="str">
        <f>_xlfn.XLOOKUP(C15,Categories!A:A,Categories!B:B)</f>
        <v>Transport</v>
      </c>
      <c r="C15" t="s">
        <v>29</v>
      </c>
      <c r="D15" t="s">
        <v>14</v>
      </c>
      <c r="E15">
        <v>22</v>
      </c>
      <c r="F15" t="s">
        <v>15</v>
      </c>
    </row>
    <row r="16" spans="1:7">
      <c r="A16" s="3">
        <v>46046</v>
      </c>
      <c r="B16" s="2" t="str">
        <f>_xlfn.XLOOKUP(C16,Categories!A:A,Categories!B:B)</f>
        <v>Entertainment</v>
      </c>
      <c r="C16" t="s">
        <v>30</v>
      </c>
      <c r="D16" t="s">
        <v>14</v>
      </c>
      <c r="E16">
        <v>35</v>
      </c>
      <c r="F16" t="s">
        <v>15</v>
      </c>
    </row>
    <row r="17" spans="1:7">
      <c r="A17" s="3">
        <v>46047</v>
      </c>
      <c r="B17" s="2" t="str">
        <f>_xlfn.XLOOKUP(C17,Categories!A:A,Categories!B:B)</f>
        <v>Health</v>
      </c>
      <c r="C17" t="s">
        <v>31</v>
      </c>
      <c r="D17" t="s">
        <v>14</v>
      </c>
      <c r="E17">
        <v>15</v>
      </c>
      <c r="F17" t="s">
        <v>18</v>
      </c>
    </row>
    <row r="18" spans="1:7">
      <c r="A18" s="3">
        <v>46049</v>
      </c>
      <c r="B18" s="2" t="str">
        <f>_xlfn.XLOOKUP(C18,Categories!A:A,Categories!B:B)</f>
        <v>Food</v>
      </c>
      <c r="C18" t="s">
        <v>22</v>
      </c>
      <c r="D18" t="s">
        <v>14</v>
      </c>
      <c r="E18">
        <v>33</v>
      </c>
      <c r="F18" t="s">
        <v>15</v>
      </c>
    </row>
    <row r="19" spans="1:7">
      <c r="A19" s="3">
        <v>46050</v>
      </c>
      <c r="B19" s="2" t="str">
        <f>_xlfn.XLOOKUP(C19,Categories!A:A,Categories!B:B)</f>
        <v>Utilities</v>
      </c>
      <c r="C19" t="s">
        <v>32</v>
      </c>
      <c r="D19" t="s">
        <v>14</v>
      </c>
      <c r="E19">
        <v>40</v>
      </c>
      <c r="F19" t="s">
        <v>10</v>
      </c>
    </row>
    <row r="20" spans="1:7">
      <c r="A20" s="3">
        <v>46052</v>
      </c>
      <c r="B20" s="2" t="str">
        <f>_xlfn.XLOOKUP(C20,Categories!A:A,Categories!B:B)</f>
        <v>Income</v>
      </c>
      <c r="C20" t="s">
        <v>8</v>
      </c>
      <c r="D20" t="s">
        <v>9</v>
      </c>
      <c r="E20">
        <v>1200</v>
      </c>
      <c r="F20" t="s">
        <v>10</v>
      </c>
    </row>
    <row r="21" spans="1:7">
      <c r="A21" s="3">
        <v>46054</v>
      </c>
      <c r="B21" s="2" t="str">
        <f>_xlfn.XLOOKUP(C21,Categories!A:A,Categories!B:B)</f>
        <v>Food</v>
      </c>
      <c r="C21" t="s">
        <v>13</v>
      </c>
      <c r="D21" t="s">
        <v>14</v>
      </c>
      <c r="E21">
        <v>55</v>
      </c>
      <c r="F21" t="s">
        <v>15</v>
      </c>
    </row>
    <row r="22" spans="1:7">
      <c r="A22" s="3">
        <v>46055</v>
      </c>
      <c r="B22" s="2" t="str">
        <f>_xlfn.XLOOKUP(C22,Categories!A:A,Categories!B:B)</f>
        <v>Transport</v>
      </c>
      <c r="C22" t="s">
        <v>17</v>
      </c>
      <c r="D22" t="s">
        <v>14</v>
      </c>
      <c r="E22">
        <v>10</v>
      </c>
      <c r="F22" t="s">
        <v>18</v>
      </c>
    </row>
    <row r="23" spans="1:7">
      <c r="A23" s="3">
        <v>46056</v>
      </c>
      <c r="B23" s="2" t="str">
        <f>_xlfn.XLOOKUP(C23,Categories!A:A,Categories!B:B)</f>
        <v>Entertainment</v>
      </c>
      <c r="C23" t="s">
        <v>20</v>
      </c>
      <c r="D23" t="s">
        <v>14</v>
      </c>
      <c r="E23">
        <v>25</v>
      </c>
      <c r="F23" t="s">
        <v>15</v>
      </c>
    </row>
    <row r="24" spans="1:7">
      <c r="A24" s="3">
        <v>46057</v>
      </c>
      <c r="B24" s="2" t="str">
        <f>_xlfn.XLOOKUP(C24,Categories!A:A,Categories!B:B)</f>
        <v>Health</v>
      </c>
      <c r="C24" t="s">
        <v>33</v>
      </c>
      <c r="D24" t="s">
        <v>14</v>
      </c>
      <c r="E24">
        <v>45</v>
      </c>
      <c r="F24" t="s">
        <v>10</v>
      </c>
    </row>
    <row r="25" spans="1:7">
      <c r="A25" s="3">
        <v>46058</v>
      </c>
      <c r="B25" s="2" t="str">
        <f>_xlfn.XLOOKUP(C25,Categories!A:A,Categories!B:B)</f>
        <v>Food</v>
      </c>
      <c r="C25" t="s">
        <v>22</v>
      </c>
      <c r="D25" t="s">
        <v>14</v>
      </c>
      <c r="E25">
        <v>38</v>
      </c>
      <c r="F25" t="s">
        <v>15</v>
      </c>
    </row>
    <row r="26" spans="1:7">
      <c r="A26" s="3">
        <v>46060</v>
      </c>
      <c r="B26" s="2" t="str">
        <f>_xlfn.XLOOKUP(C26,Categories!A:A,Categories!B:B)</f>
        <v>Utilities</v>
      </c>
      <c r="C26" t="s">
        <v>34</v>
      </c>
      <c r="D26" t="s">
        <v>14</v>
      </c>
      <c r="E26">
        <v>25</v>
      </c>
      <c r="F26" t="s">
        <v>10</v>
      </c>
    </row>
    <row r="27" spans="1:7">
      <c r="A27" s="3">
        <v>46061</v>
      </c>
      <c r="B27" s="2" t="str">
        <f>_xlfn.XLOOKUP(C27,Categories!A:A,Categories!B:B)</f>
        <v>Transport</v>
      </c>
      <c r="C27" t="s">
        <v>29</v>
      </c>
      <c r="D27" t="s">
        <v>14</v>
      </c>
      <c r="E27">
        <v>19</v>
      </c>
      <c r="F27" t="s">
        <v>15</v>
      </c>
    </row>
    <row r="28" spans="1:7">
      <c r="A28" s="3">
        <v>46063</v>
      </c>
      <c r="B28" s="2" t="str">
        <f>_xlfn.XLOOKUP(C28,Categories!A:A,Categories!B:B)</f>
        <v>Income</v>
      </c>
      <c r="C28" t="s">
        <v>24</v>
      </c>
      <c r="D28" t="s">
        <v>9</v>
      </c>
      <c r="E28">
        <v>300</v>
      </c>
      <c r="F28" t="s">
        <v>10</v>
      </c>
    </row>
    <row r="29" spans="1:7">
      <c r="A29" s="3">
        <v>46064</v>
      </c>
      <c r="B29" s="2" t="str">
        <f>_xlfn.XLOOKUP(C29,Categories!A:A,Categories!B:B)</f>
        <v>Food</v>
      </c>
      <c r="C29" t="s">
        <v>13</v>
      </c>
      <c r="D29" t="s">
        <v>14</v>
      </c>
      <c r="E29">
        <v>62</v>
      </c>
      <c r="F29" t="s">
        <v>15</v>
      </c>
    </row>
    <row r="30" spans="1:7">
      <c r="A30" s="3">
        <v>46065</v>
      </c>
      <c r="B30" s="2" t="str">
        <f>_xlfn.XLOOKUP(C30,Categories!A:A,Categories!B:B)</f>
        <v>Entertainment</v>
      </c>
      <c r="C30" t="s">
        <v>35</v>
      </c>
      <c r="D30" t="s">
        <v>14</v>
      </c>
      <c r="E30">
        <v>80</v>
      </c>
      <c r="F30" t="s">
        <v>15</v>
      </c>
    </row>
    <row r="31" spans="1:7">
      <c r="A31" s="3">
        <v>46066</v>
      </c>
      <c r="B31" s="2" t="str">
        <f>_xlfn.XLOOKUP(C31,Categories!A:A,Categories!B:B)</f>
        <v>Shopping</v>
      </c>
      <c r="C31" t="s">
        <v>36</v>
      </c>
      <c r="D31" t="s">
        <v>14</v>
      </c>
      <c r="E31">
        <v>120</v>
      </c>
      <c r="F31" t="s">
        <v>15</v>
      </c>
    </row>
    <row r="32" spans="1:7">
      <c r="A32" s="3">
        <v>46067</v>
      </c>
      <c r="B32" s="2" t="str">
        <f>_xlfn.XLOOKUP(C32,Categories!A:A,Categories!B:B)</f>
        <v>Food</v>
      </c>
      <c r="C32" t="s">
        <v>22</v>
      </c>
      <c r="D32" t="s">
        <v>14</v>
      </c>
      <c r="E32">
        <v>45</v>
      </c>
      <c r="F32" t="s">
        <v>15</v>
      </c>
      <c r="G32" t="s">
        <v>37</v>
      </c>
    </row>
    <row r="33" spans="1:6">
      <c r="A33" s="3">
        <v>46069</v>
      </c>
      <c r="B33" s="2" t="str">
        <f>_xlfn.XLOOKUP(C33,Categories!A:A,Categories!B:B)</f>
        <v>Transport</v>
      </c>
      <c r="C33" t="s">
        <v>25</v>
      </c>
      <c r="D33" t="s">
        <v>14</v>
      </c>
      <c r="E33">
        <v>18</v>
      </c>
      <c r="F33" t="s">
        <v>15</v>
      </c>
    </row>
    <row r="34" spans="1:6">
      <c r="A34" s="3">
        <v>46070</v>
      </c>
      <c r="B34" s="2" t="str">
        <f>_xlfn.XLOOKUP(C34,Categories!A:A,Categories!B:B)</f>
        <v>Utilities</v>
      </c>
      <c r="C34" t="s">
        <v>28</v>
      </c>
      <c r="D34" t="s">
        <v>14</v>
      </c>
      <c r="E34">
        <v>70</v>
      </c>
      <c r="F34" t="s">
        <v>10</v>
      </c>
    </row>
    <row r="35" spans="1:6">
      <c r="A35" s="3">
        <v>46071</v>
      </c>
      <c r="B35" s="2" t="str">
        <f>_xlfn.XLOOKUP(C35,Categories!A:A,Categories!B:B)</f>
        <v>Health</v>
      </c>
      <c r="C35" t="s">
        <v>38</v>
      </c>
      <c r="D35" t="s">
        <v>14</v>
      </c>
      <c r="E35">
        <v>50</v>
      </c>
      <c r="F35" t="s">
        <v>18</v>
      </c>
    </row>
    <row r="36" spans="1:6">
      <c r="A36" s="3">
        <v>46073</v>
      </c>
      <c r="B36" s="2" t="str">
        <f>_xlfn.XLOOKUP(C36,Categories!A:A,Categories!B:B)</f>
        <v>Food</v>
      </c>
      <c r="C36" t="s">
        <v>13</v>
      </c>
      <c r="D36" t="s">
        <v>14</v>
      </c>
      <c r="E36">
        <v>49</v>
      </c>
      <c r="F36" t="s">
        <v>15</v>
      </c>
    </row>
    <row r="37" spans="1:6">
      <c r="A37" s="3">
        <v>46074</v>
      </c>
      <c r="B37" s="2" t="str">
        <f>_xlfn.XLOOKUP(C37,Categories!A:A,Categories!B:B)</f>
        <v>Entertainment</v>
      </c>
      <c r="C37" t="s">
        <v>30</v>
      </c>
      <c r="D37" t="s">
        <v>14</v>
      </c>
      <c r="E37">
        <v>30</v>
      </c>
      <c r="F37" t="s">
        <v>15</v>
      </c>
    </row>
    <row r="38" spans="1:6">
      <c r="A38" s="3">
        <v>46075</v>
      </c>
      <c r="B38" s="2" t="str">
        <f>_xlfn.XLOOKUP(C38,Categories!A:A,Categories!B:B)</f>
        <v>Transport</v>
      </c>
      <c r="C38" t="s">
        <v>17</v>
      </c>
      <c r="D38" t="s">
        <v>14</v>
      </c>
      <c r="E38">
        <v>12</v>
      </c>
      <c r="F38" t="s">
        <v>18</v>
      </c>
    </row>
    <row r="39" spans="1:6">
      <c r="A39" s="3">
        <v>46076</v>
      </c>
      <c r="B39" s="2" t="str">
        <f>_xlfn.XLOOKUP(C39,Categories!A:A,Categories!B:B)</f>
        <v>Income</v>
      </c>
      <c r="C39" t="s">
        <v>8</v>
      </c>
      <c r="D39" t="s">
        <v>9</v>
      </c>
      <c r="E39">
        <v>1200</v>
      </c>
      <c r="F39" t="s">
        <v>10</v>
      </c>
    </row>
    <row r="40" spans="1:6">
      <c r="A40" s="3">
        <v>46077</v>
      </c>
      <c r="B40" s="2" t="str">
        <f>_xlfn.XLOOKUP(C40,Categories!A:A,Categories!B:B)</f>
        <v>Shopping</v>
      </c>
      <c r="C40" t="s">
        <v>39</v>
      </c>
      <c r="D40" t="s">
        <v>14</v>
      </c>
      <c r="E40">
        <v>200</v>
      </c>
      <c r="F40" t="s">
        <v>15</v>
      </c>
    </row>
    <row r="41" spans="1:6">
      <c r="A41" s="3">
        <v>46078</v>
      </c>
      <c r="B41" s="2" t="str">
        <f>_xlfn.XLOOKUP(C41,Categories!A:A,Categories!B:B)</f>
        <v>Food</v>
      </c>
      <c r="C41" t="s">
        <v>22</v>
      </c>
      <c r="D41" t="s">
        <v>14</v>
      </c>
      <c r="E41">
        <v>36</v>
      </c>
      <c r="F41" t="s">
        <v>15</v>
      </c>
    </row>
    <row r="42" spans="1:6">
      <c r="A42" s="3">
        <v>46079</v>
      </c>
      <c r="B42" s="2" t="str">
        <f>_xlfn.XLOOKUP(C42,Categories!A:A,Categories!B:B)</f>
        <v>Utilities</v>
      </c>
      <c r="C42" t="s">
        <v>32</v>
      </c>
      <c r="D42" t="s">
        <v>14</v>
      </c>
      <c r="E42">
        <v>42</v>
      </c>
      <c r="F42" t="s">
        <v>10</v>
      </c>
    </row>
    <row r="43" spans="1:6">
      <c r="A43" s="3">
        <v>46080</v>
      </c>
      <c r="B43" s="2" t="str">
        <f>_xlfn.XLOOKUP(C43,Categories!A:A,Categories!B:B)</f>
        <v>Health</v>
      </c>
      <c r="C43" t="s">
        <v>33</v>
      </c>
      <c r="D43" t="s">
        <v>14</v>
      </c>
      <c r="E43">
        <v>45</v>
      </c>
      <c r="F43" t="s">
        <v>10</v>
      </c>
    </row>
    <row r="44" spans="1:6">
      <c r="A44" s="3">
        <v>46082</v>
      </c>
      <c r="B44" s="2" t="str">
        <f>_xlfn.XLOOKUP(C44,Categories!A:A,Categories!B:B)</f>
        <v>Food</v>
      </c>
      <c r="C44" t="s">
        <v>13</v>
      </c>
      <c r="D44" t="s">
        <v>14</v>
      </c>
      <c r="E44">
        <v>58</v>
      </c>
      <c r="F44" t="s">
        <v>15</v>
      </c>
    </row>
    <row r="45" spans="1:6">
      <c r="A45" s="3">
        <v>46083</v>
      </c>
      <c r="B45" s="2" t="str">
        <f>_xlfn.XLOOKUP(C45,Categories!A:A,Categories!B:B)</f>
        <v>Transport</v>
      </c>
      <c r="C45" t="s">
        <v>29</v>
      </c>
      <c r="D45" t="s">
        <v>14</v>
      </c>
      <c r="E45">
        <v>20</v>
      </c>
      <c r="F45" t="s">
        <v>15</v>
      </c>
    </row>
    <row r="46" spans="1:6">
      <c r="A46" s="3">
        <v>46084</v>
      </c>
      <c r="B46" s="2" t="str">
        <f>_xlfn.XLOOKUP(C46,Categories!A:A,Categories!B:B)</f>
        <v>Entertainment</v>
      </c>
      <c r="C46" t="s">
        <v>20</v>
      </c>
      <c r="D46" t="s">
        <v>14</v>
      </c>
      <c r="E46">
        <v>22</v>
      </c>
      <c r="F46" t="s">
        <v>15</v>
      </c>
    </row>
    <row r="47" spans="1:6">
      <c r="A47" s="3">
        <v>46085</v>
      </c>
      <c r="B47" s="2" t="str">
        <f>_xlfn.XLOOKUP(C47,Categories!A:A,Categories!B:B)</f>
        <v>Shopping</v>
      </c>
      <c r="C47" t="s">
        <v>40</v>
      </c>
      <c r="D47" t="s">
        <v>14</v>
      </c>
      <c r="E47">
        <v>35</v>
      </c>
      <c r="F47" t="s">
        <v>15</v>
      </c>
    </row>
    <row r="48" spans="1:6">
      <c r="A48" s="3">
        <v>46086</v>
      </c>
      <c r="B48" s="2" t="str">
        <f>_xlfn.XLOOKUP(C48,Categories!A:A,Categories!B:B)</f>
        <v>Income</v>
      </c>
      <c r="C48" t="s">
        <v>24</v>
      </c>
      <c r="D48" t="s">
        <v>9</v>
      </c>
      <c r="E48">
        <v>280</v>
      </c>
      <c r="F48" t="s">
        <v>10</v>
      </c>
    </row>
    <row r="49" spans="1:6">
      <c r="A49" s="3">
        <v>46087</v>
      </c>
      <c r="B49" s="2" t="str">
        <f>_xlfn.XLOOKUP(C49,Categories!A:A,Categories!B:B)</f>
        <v>Food</v>
      </c>
      <c r="C49" t="s">
        <v>22</v>
      </c>
      <c r="D49" t="s">
        <v>14</v>
      </c>
      <c r="E49">
        <v>40</v>
      </c>
      <c r="F49" t="s">
        <v>15</v>
      </c>
    </row>
    <row r="50" spans="1:6">
      <c r="A50" s="3">
        <v>46088</v>
      </c>
      <c r="B50" s="2" t="str">
        <f>_xlfn.XLOOKUP(C50,Categories!A:A,Categories!B:B)</f>
        <v>Utilities</v>
      </c>
      <c r="C50" t="s">
        <v>34</v>
      </c>
      <c r="D50" t="s">
        <v>14</v>
      </c>
      <c r="E50">
        <v>28</v>
      </c>
      <c r="F50" t="s">
        <v>10</v>
      </c>
    </row>
    <row r="51" spans="1:6">
      <c r="A51" s="3">
        <v>46089</v>
      </c>
      <c r="B51" s="2" t="str">
        <f>_xlfn.XLOOKUP(C51,Categories!A:A,Categories!B:B)</f>
        <v>Transport</v>
      </c>
      <c r="C51" t="s">
        <v>25</v>
      </c>
      <c r="D51" t="s">
        <v>14</v>
      </c>
      <c r="E51">
        <v>18</v>
      </c>
      <c r="F51" t="s">
        <v>15</v>
      </c>
    </row>
    <row r="52" spans="1:6">
      <c r="A52" s="3">
        <v>46090</v>
      </c>
      <c r="B52" s="2" t="str">
        <f>_xlfn.XLOOKUP(C52,Categories!A:A,Categories!B:B)</f>
        <v>Health</v>
      </c>
      <c r="C52" t="s">
        <v>31</v>
      </c>
      <c r="D52" t="s">
        <v>14</v>
      </c>
      <c r="E52">
        <v>17</v>
      </c>
      <c r="F52" t="s">
        <v>18</v>
      </c>
    </row>
    <row r="53" spans="1:6">
      <c r="A53" s="3">
        <v>46091</v>
      </c>
      <c r="B53" s="2" t="str">
        <f>_xlfn.XLOOKUP(C53,Categories!A:A,Categories!B:B)</f>
        <v>Food</v>
      </c>
      <c r="C53" t="s">
        <v>13</v>
      </c>
      <c r="D53" t="s">
        <v>14</v>
      </c>
      <c r="E53">
        <v>60</v>
      </c>
      <c r="F53" t="s">
        <v>15</v>
      </c>
    </row>
    <row r="54" spans="1:6">
      <c r="A54" s="3">
        <v>46092</v>
      </c>
      <c r="B54" s="2" t="str">
        <f>_xlfn.XLOOKUP(C54,Categories!A:A,Categories!B:B)</f>
        <v>Entertainment</v>
      </c>
      <c r="C54" t="s">
        <v>26</v>
      </c>
      <c r="D54" t="s">
        <v>14</v>
      </c>
      <c r="E54">
        <v>12</v>
      </c>
      <c r="F54" t="s">
        <v>15</v>
      </c>
    </row>
    <row r="55" spans="1:6">
      <c r="A55" s="3">
        <v>46093</v>
      </c>
      <c r="B55" s="2" t="str">
        <f>_xlfn.XLOOKUP(C55,Categories!A:A,Categories!B:B)</f>
        <v>Shopping</v>
      </c>
      <c r="C55" t="s">
        <v>36</v>
      </c>
      <c r="D55" t="s">
        <v>14</v>
      </c>
      <c r="E55">
        <v>90</v>
      </c>
      <c r="F55" t="s">
        <v>15</v>
      </c>
    </row>
    <row r="56" spans="1:6">
      <c r="A56" s="3">
        <v>46094</v>
      </c>
      <c r="B56" s="2" t="str">
        <f>_xlfn.XLOOKUP(C56,Categories!A:A,Categories!B:B)</f>
        <v>Income</v>
      </c>
      <c r="C56" t="s">
        <v>8</v>
      </c>
      <c r="D56" t="s">
        <v>9</v>
      </c>
      <c r="E56">
        <v>1200</v>
      </c>
      <c r="F56" t="s">
        <v>10</v>
      </c>
    </row>
    <row r="57" spans="1:6">
      <c r="A57" s="3">
        <v>46095</v>
      </c>
      <c r="B57" s="2" t="str">
        <f>_xlfn.XLOOKUP(C57,Categories!A:A,Categories!B:B)</f>
        <v>Food</v>
      </c>
      <c r="C57" t="s">
        <v>22</v>
      </c>
      <c r="D57" t="s">
        <v>14</v>
      </c>
      <c r="E57">
        <v>42</v>
      </c>
      <c r="F57" t="s">
        <v>15</v>
      </c>
    </row>
  </sheetData>
  <conditionalFormatting sqref="D1:E57">
    <cfRule type="expression" dxfId="1" priority="2">
      <formula>AND($D1="Expense",$E1&gt;50)</formula>
    </cfRule>
  </conditionalFormatting>
  <conditionalFormatting sqref="D2:E57">
    <cfRule type="expression" dxfId="1" priority="1">
      <formula>AND($D2="Expense",$E2&gt;40)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4.5" outlineLevelCol="1"/>
  <cols>
    <col min="1" max="1" width="12.0909090909091" customWidth="1"/>
    <col min="2" max="2" width="14" customWidth="1"/>
  </cols>
  <sheetData>
    <row r="1" spans="1:2">
      <c r="A1" s="1" t="s">
        <v>2</v>
      </c>
      <c r="B1" s="1" t="s">
        <v>1</v>
      </c>
    </row>
    <row r="2" spans="1:2">
      <c r="A2" t="s">
        <v>13</v>
      </c>
      <c r="B2" t="s">
        <v>41</v>
      </c>
    </row>
    <row r="3" spans="1:2">
      <c r="A3" t="s">
        <v>22</v>
      </c>
      <c r="B3" t="s">
        <v>41</v>
      </c>
    </row>
    <row r="4" spans="1:2">
      <c r="A4" t="s">
        <v>26</v>
      </c>
      <c r="B4" t="s">
        <v>42</v>
      </c>
    </row>
    <row r="5" spans="1:2">
      <c r="A5" t="s">
        <v>20</v>
      </c>
      <c r="B5" t="s">
        <v>42</v>
      </c>
    </row>
    <row r="6" spans="1:2">
      <c r="A6" t="s">
        <v>30</v>
      </c>
      <c r="B6" t="s">
        <v>42</v>
      </c>
    </row>
    <row r="7" spans="1:2">
      <c r="A7" t="s">
        <v>35</v>
      </c>
      <c r="B7" t="s">
        <v>42</v>
      </c>
    </row>
    <row r="8" spans="1:2">
      <c r="A8" t="s">
        <v>17</v>
      </c>
      <c r="B8" t="s">
        <v>43</v>
      </c>
    </row>
    <row r="9" spans="1:2">
      <c r="A9" t="s">
        <v>25</v>
      </c>
      <c r="B9" t="s">
        <v>43</v>
      </c>
    </row>
    <row r="10" spans="1:2">
      <c r="A10" t="s">
        <v>29</v>
      </c>
      <c r="B10" t="s">
        <v>43</v>
      </c>
    </row>
    <row r="11" spans="1:2">
      <c r="A11" t="s">
        <v>8</v>
      </c>
      <c r="B11" t="s">
        <v>9</v>
      </c>
    </row>
    <row r="12" spans="1:2">
      <c r="A12" t="s">
        <v>24</v>
      </c>
      <c r="B12" t="s">
        <v>9</v>
      </c>
    </row>
    <row r="13" spans="1:2">
      <c r="A13" t="s">
        <v>28</v>
      </c>
      <c r="B13" t="s">
        <v>44</v>
      </c>
    </row>
    <row r="14" spans="1:2">
      <c r="A14" t="s">
        <v>34</v>
      </c>
      <c r="B14" t="s">
        <v>44</v>
      </c>
    </row>
    <row r="15" spans="1:2">
      <c r="A15" t="s">
        <v>32</v>
      </c>
      <c r="B15" t="s">
        <v>44</v>
      </c>
    </row>
    <row r="16" spans="1:2">
      <c r="A16" t="s">
        <v>33</v>
      </c>
      <c r="B16" t="s">
        <v>45</v>
      </c>
    </row>
    <row r="17" spans="1:2">
      <c r="A17" t="s">
        <v>38</v>
      </c>
      <c r="B17" t="s">
        <v>45</v>
      </c>
    </row>
    <row r="18" spans="1:2">
      <c r="A18" t="s">
        <v>31</v>
      </c>
      <c r="B18" t="s">
        <v>45</v>
      </c>
    </row>
    <row r="19" spans="1:2">
      <c r="A19" t="s">
        <v>36</v>
      </c>
      <c r="B19" t="s">
        <v>46</v>
      </c>
    </row>
    <row r="20" spans="1:2">
      <c r="A20" t="s">
        <v>39</v>
      </c>
      <c r="B20" t="s">
        <v>46</v>
      </c>
    </row>
    <row r="21" spans="1:2">
      <c r="A21" t="s">
        <v>40</v>
      </c>
      <c r="B21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14" sqref="E14"/>
    </sheetView>
  </sheetViews>
  <sheetFormatPr defaultColWidth="9" defaultRowHeight="14.5" outlineLevelRow="2" outlineLevelCol="1"/>
  <cols>
    <col min="1" max="1" width="14.5454545454545" customWidth="1"/>
    <col min="2" max="2" width="5.54545454545455" customWidth="1"/>
  </cols>
  <sheetData>
    <row r="1" spans="1:2">
      <c r="A1" s="1" t="s">
        <v>47</v>
      </c>
      <c r="B1">
        <f>SUMIF(Transactions!D:D,"Income",Transactions!E:E)</f>
        <v>5930</v>
      </c>
    </row>
    <row r="2" spans="1:2">
      <c r="A2" s="1" t="s">
        <v>48</v>
      </c>
      <c r="B2">
        <f>SUMIF(Transactions!D:D,"Expense",Transactions!E:E)</f>
        <v>1990</v>
      </c>
    </row>
    <row r="3" spans="1:2">
      <c r="A3" s="1" t="s">
        <v>49</v>
      </c>
      <c r="B3">
        <f>B1-B2</f>
        <v>3940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topLeftCell="A13" workbookViewId="0">
      <selection activeCell="C25" sqref="C25"/>
    </sheetView>
  </sheetViews>
  <sheetFormatPr defaultColWidth="8.72727272727273" defaultRowHeight="14.5" outlineLevelCol="1"/>
  <cols>
    <col min="1" max="1" width="14"/>
    <col min="2" max="2" width="15.2727272727273"/>
  </cols>
  <sheetData>
    <row r="1" spans="1:2">
      <c r="A1" t="s">
        <v>3</v>
      </c>
      <c r="B1" t="s">
        <v>14</v>
      </c>
    </row>
    <row r="3" spans="1:2">
      <c r="A3" t="s">
        <v>1</v>
      </c>
      <c r="B3" t="s">
        <v>50</v>
      </c>
    </row>
    <row r="4" spans="1:2">
      <c r="A4" t="s">
        <v>42</v>
      </c>
      <c r="B4">
        <v>236</v>
      </c>
    </row>
    <row r="5" spans="1:2">
      <c r="A5" t="s">
        <v>41</v>
      </c>
      <c r="B5">
        <v>720</v>
      </c>
    </row>
    <row r="6" spans="1:2">
      <c r="A6" t="s">
        <v>43</v>
      </c>
      <c r="B6">
        <v>152</v>
      </c>
    </row>
    <row r="7" spans="1:2">
      <c r="A7" t="s">
        <v>44</v>
      </c>
      <c r="B7">
        <v>265</v>
      </c>
    </row>
    <row r="8" spans="1:2">
      <c r="A8" t="s">
        <v>45</v>
      </c>
      <c r="B8">
        <v>172</v>
      </c>
    </row>
    <row r="9" spans="1:2">
      <c r="A9" t="s">
        <v>46</v>
      </c>
      <c r="B9">
        <v>445</v>
      </c>
    </row>
    <row r="10" spans="1:2">
      <c r="A10" t="s">
        <v>51</v>
      </c>
      <c r="B10">
        <v>1990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Transactions</vt:lpstr>
      <vt:lpstr>Categories</vt:lpstr>
      <vt:lpstr>Summary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tasnim sneha</cp:lastModifiedBy>
  <dcterms:created xsi:type="dcterms:W3CDTF">2026-04-24T20:11:00Z</dcterms:created>
  <dcterms:modified xsi:type="dcterms:W3CDTF">2026-04-27T13:30:09Z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93CE646353CF443BB08A41C2C3AC2896_12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